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e670bf396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56db58e9fa42e8"/>
    <x:sheet xmlns:r="http://schemas.openxmlformats.org/officeDocument/2006/relationships" name="ZONE &amp; THRESHOLDS" sheetId="2" r:id="Rdb977e7bbbfe4c62"/>
    <x:sheet xmlns:r="http://schemas.openxmlformats.org/officeDocument/2006/relationships" name="ONE-EARTH v2" sheetId="3" r:id="Rc6326f701e244fc5"/>
    <x:sheet xmlns:r="http://schemas.openxmlformats.org/officeDocument/2006/relationships" name="v1 Quick Survey" sheetId="4" r:id="Rbf212066b663480b"/>
    <x:sheet xmlns:r="http://schemas.openxmlformats.org/officeDocument/2006/relationships" name="DASHBOARD" sheetId="5" r:id="R2eb78982479e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"/>
  </x:numFmts>
  <x:fonts count="8">
    <x:font>
      <x:sz val="11"/>
      <x:color theme="1"/>
      <x:name val="Calibri"/>
      <x:family val="2"/>
      <x:scheme val="minor"/>
    </x:font>
    <x:font>
      <x:b/>
      <x:sz val="16"/>
    </x:font>
    <x:font>
      <x:b/>
      <x:sz val="11"/>
      <x:color rgb="001F4E79"/>
    </x:font>
    <x:font>
      <x:sz val="9"/>
      <x:color rgb="006E6E6E"/>
    </x:font>
    <x:font>
      <x:b/>
    </x:font>
    <x:font>
      <x:b/>
      <x:color rgb="00FFFFFF"/>
    </x:font>
    <x:font>
      <x:color rgb="000000FF"/>
    </x:font>
    <x:font>
      <x:color rgb="00000000"/>
    </x:font>
  </x:fonts>
  <x:fills count="6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1F4E79"/>
      </x:patternFill>
    </x:fill>
    <x:fill>
      <x:patternFill patternType="solid">
        <x:fgColor rgb="00FFF2CC"/>
      </x:patternFill>
    </x:fill>
    <x:fill>
      <x:patternFill patternType="solid">
        <x:fgColor rgb="00C6EFCE"/>
      </x:patternFill>
    </x:fill>
  </x:fills>
  <x:borders count="5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 style="thin">
        <x:color rgb="00BFBFBF"/>
      </x:left>
      <x:right/>
      <x:top/>
      <x:bottom/>
      <x:diagonal/>
    </x:border>
    <x:border>
      <x:left style="thin">
        <x:color rgb="00BFBFBF"/>
      </x:left>
      <x:right style="thin">
        <x:color rgb="00BFBFBF"/>
      </x:right>
      <x:top/>
      <x:bottom/>
      <x:diagonal/>
    </x:border>
    <x:border>
      <x:left style="thin">
        <x:color rgb="00BFBFBF"/>
      </x:left>
      <x:right style="thin">
        <x:color rgb="00BFBFBF"/>
      </x:right>
      <x:top/>
      <x:bottom style="thin">
        <x:color rgb="00BFBFBF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horizontal="left" vertical="center" wrapText="1"/>
    </x:xf>
    <x:xf numFmtId="0" fontId="3" fillId="0" borderId="0" xfId="0"/>
    <x:xf numFmtId="0" fontId="4" fillId="2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2" fontId="0" fillId="0" borderId="1" xfId="0" applyAlignment="1">
      <x:alignment horizontal="center" vertical="center" wrapText="1"/>
    </x:xf>
    <x:xf numFmtId="0" fontId="5" fillId="3" borderId="1" xfId="0" applyAlignment="1">
      <x:alignment horizontal="center" vertical="center" wrapText="1"/>
    </x:xf>
    <x:xf numFmtId="2" fontId="0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2" fontId="6" fillId="4" borderId="1" xfId="0" applyAlignment="1">
      <x:alignment horizontal="center" vertical="center" wrapText="1"/>
    </x:xf>
    <x:xf numFmtId="0" fontId="4" fillId="0" borderId="0" xfId="0"/>
    <x:xf numFmtId="0" fontId="6" fillId="4" borderId="0" xfId="0" applyAlignment="1">
      <x:alignment horizontal="left" vertical="center" wrapText="1"/>
    </x:xf>
    <x:xf numFmtId="2" fontId="7" fillId="0" borderId="0" xfId="0"/>
    <x:xf numFmtId="2" fontId="7" fillId="2" borderId="1" xfId="0" applyAlignment="1">
      <x:alignment horizontal="center" vertical="center" wrapText="1"/>
    </x:xf>
    <x:xf numFmtId="0" fontId="4" fillId="0" borderId="1" xfId="0" applyAlignment="1">
      <x:alignment horizontal="right" vertical="center"/>
    </x:xf>
    <x:xf numFmtId="2" fontId="4" fillId="5" borderId="1" xfId="0" applyAlignment="1">
      <x:alignment horizontal="center" vertical="center" wrapText="1"/>
    </x:xf>
    <x:xf numFmtId="0" fontId="4" fillId="0" borderId="1" xfId="0" applyAlignment="1">
      <x:alignment horizontal="center" vertical="center" wrapText="1"/>
    </x:xf>
    <x:xf numFmtId="2" fontId="4" fillId="0" borderId="1" xfId="0" applyAlignment="1">
      <x:alignment horizontal="center" vertical="center" wrapText="1"/>
    </x:xf>
    <x:xf numFmtId="0" fontId="6" fillId="4" borderId="1" xfId="0" applyAlignment="1">
      <x:alignment horizontal="center" vertical="center" wrapText="1"/>
    </x:xf>
    <x:xf numFmtId="0" fontId="0" fillId="0" borderId="3" xfId="0"/>
    <x:xf numFmtId="0" fontId="0" fillId="0" borderId="4" xfId="0"/>
    <x:xf numFmtId="164" fontId="0" fillId="0" borderId="1" xfId="0" applyAlignment="1">
      <x:alignment horizontal="center" vertical="center" wrapText="1"/>
    </x:xf>
    <x:xf numFmtId="0" fontId="3" fillId="0" borderId="0" xfId="0" applyAlignment="1">
      <x:alignment horizontal="left" vertical="center" wrapText="1"/>
    </x:xf>
    <x:xf numFmtId="0" fontId="4" fillId="0" borderId="0" xfId="0" applyAlignment="1">
      <x:alignment horizontal="left" vertical="center" wrapText="1"/>
    </x:xf>
    <x:xf numFmtId="2" fontId="0" fillId="0" borderId="0" xfId="0" applyAlignment="1">
      <x:alignment horizontal="left" vertical="center" wrapText="1"/>
    </x:xf>
    <x:xf numFmtId="2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5d74e0f45495d" /><Relationship Type="http://schemas.openxmlformats.org/officeDocument/2006/relationships/theme" Target="/xl/theme/theme1.xml" Id="R0390f547d6724366" /><Relationship Type="http://schemas.openxmlformats.org/officeDocument/2006/relationships/sharedStrings" Target="/xl/sharedStrings.xml" Id="R15fd4d3882b94803" /><Relationship Type="http://schemas.openxmlformats.org/officeDocument/2006/relationships/worksheet" Target="/xl/worksheets/sheet1.xml" Id="R7f56db58e9fa42e8" /><Relationship Type="http://schemas.openxmlformats.org/officeDocument/2006/relationships/worksheet" Target="/xl/worksheets/sheet2.xml" Id="Rdb977e7bbbfe4c62" /><Relationship Type="http://schemas.openxmlformats.org/officeDocument/2006/relationships/worksheet" Target="/xl/worksheets/sheet3.xml" Id="Rc6326f701e244fc5" /><Relationship Type="http://schemas.openxmlformats.org/officeDocument/2006/relationships/worksheet" Target="/xl/worksheets/sheet4.xml" Id="Rbf212066b663480b" /><Relationship Type="http://schemas.openxmlformats.org/officeDocument/2006/relationships/worksheet" Target="/xl/worksheets/sheet5.xml" Id="R2eb78982479e4d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ab942c82c846b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ec6ee97142c44d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Kontribusi Tertimbang per Komponen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gapWidth val="150"/>
        <c:ser>
          <c:idx val="0"/>
          <c:order val="0"/>
          <c:tx>
            <c:strRef>
              <c:f>'ONE-EARTH v2'!G7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'ONE-EARTH v2'!$A$8:$A$14</c:f>
              <c:strCache>
                <c:ptCount val="0"/>
              </c:strCache>
            </c:strRef>
          </c:cat>
          <c:val>
            <c:numRef>
              <c:f>'ONE-EARTH v2'!$G$8:$G$14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SerName val="0"/>
          <c:showCatName val="0"/>
          <c:showPercent val="0"/>
          <c:showBubbleSize val="0"/>
          <c: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Penyumbang Overshoot (v2)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gapWidth val="150"/>
        <c:ser>
          <c:idx val="0"/>
          <c:order val="0"/>
          <c:tx>
            <c:strRef>
              <c:f>'ONE-EARTH v2'!G7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'ONE-EARTH v2'!$A$8:$A$14</c:f>
              <c:strCache>
                <c:ptCount val="0"/>
              </c:strCache>
            </c:strRef>
          </c:cat>
          <c:val>
            <c:numRef>
              <c:f>'ONE-EARTH v2'!$G$8:$G$14</c:f>
              <c:numCache>
                <c:formatCode/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ab942c82c846b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c6ee97142c44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7b9b8e8e52f4e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9224b6bb4a5249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 ht="30" customHeight="1">
      <x:c r="A1" s="1" t="inlineStr">
        <x:is>
          <x:t xml:space="preserve">THE ONE-EARTH TEST – Spreadsheet Simulasi Publik</x:t>
        </x:is>
      </x:c>
    </x:row>
    <x:row r="2" ht="18" customHeight="1"/>
    <x:row r="3" ht="18" customHeight="1">
      <x:c r="A3" s="2" t="inlineStr">
        <x:is>
          <x:t xml:space="preserve">Apa ini?</x:t>
        </x:is>
      </x:c>
    </x:row>
    <x:row r="4" ht="70" customHeight="1">
      <x:c r="A4" s="3" t="inlineStr">
        <x:is>
          <x:t xml:space="preserve">Spreadsheet ini membantu menghitung nilai "x Bumi": berapa banyak planet bumi yang dibutuhkan jika pola hidup ini diterapkan oleh seluruh umat manusia.
Tab utama: ONE-EARTH v2 (7 komponen).
Tab opsional: v1 Quick Survey (15 pertanyaan) untuk estimasi cepat berbasis skor 1–4.</x:t>
        </x:is>
      </x:c>
    </x:row>
    <x:row r="5" ht="18" customHeight="1"/>
    <x:row r="6" ht="18" customHeight="1">
      <x:c r="A6" s="2" t="inlineStr">
        <x:is>
          <x:t xml:space="preserve">Cara pakai (cepat):</x:t>
        </x:is>
      </x:c>
    </x:row>
    <x:row r="7" ht="90" customHeight="1">
      <x:c r="A7" s="3" t="inlineStr">
        <x:is>
          <x:t xml:space="preserve">1) Buka tab ONE-EARTH v2.
2) Pilih Zona (untuk menyesuaikan ambang minimum).
3) Isi kolom biru: konsumsi aktual kamu (atau ubah ambang jika perlu).
4) Lihat hasil x Bumi dan komposisi penyumbangnya.
Catatan: Nilai &lt;1 bukan otomatis ideal. Bisa berarti hidup belum layak. Itu sebabnya ada indikator "Layak?" untuk komponen kebutuhan dasar.</x:t>
        </x:is>
      </x:c>
    </x:row>
    <x:row r="8" ht="18" customHeight="1"/>
    <x:row r="9" ht="18" customHeight="1"/>
    <x:row r="10" ht="18" customHeight="1">
      <x:c r="A10" s="2" t="inlineStr">
        <x:is>
          <x:t xml:space="preserve">Legenda format:</x:t>
        </x:is>
      </x:c>
    </x:row>
    <x:row r="11" ht="18" customHeight="1">
      <x:c r="A11" s="4" t="inlineStr">
        <x:is>
          <x:t xml:space="preserve">• Teks biru / sel kuning = input yang boleh kamu ubah.</x:t>
        </x:is>
      </x:c>
    </x:row>
    <x:row r="12" ht="18" customHeight="1">
      <x:c r="A12" s="4" t="inlineStr">
        <x:is>
          <x:t xml:space="preserve">• Teks hitam = rumus / hasil.</x:t>
        </x:is>
      </x:c>
    </x:row>
    <x:row r="13" ht="18" customHeight="1">
      <x:c r="A13" s="4" t="inlineStr">
        <x:is>
          <x:t xml:space="preserve">• Gunakan tab ZONE &amp; THRESHOLDS untuk mengubah baseline ambang minimum.</x:t>
        </x:is>
      </x:c>
    </x:row>
    <x:row r="14" ht="18" customHeight="1"/>
    <x:row r="15" ht="18" customHeight="1">
      <x:c r="A15" s="2" t="inlineStr">
        <x:is>
          <x:t xml:space="preserve">Rujukan konsep &amp; metoda (dokumen sumber):</x:t>
        </x:is>
      </x:c>
    </x:row>
    <x:row r="16" ht="18" customHeight="1">
      <x:c r="A16" s="4" t="inlineStr">
        <x:is>
          <x:t xml:space="preserve">• THE ONE-EARTH TEST – Kerangka Pemikiran dan Metoda Survey Perhitungan (v1)</x:t>
        </x:is>
      </x:c>
    </x:row>
    <x:row r="17" ht="18" customHeight="1">
      <x:c r="A17" s="4" t="inlineStr">
        <x:is>
          <x:t xml:space="preserve">• Berapa Bumi yang Kita Pakai? – Kerangka Evaluasi Kelayakan Global Pola Hidup Manusia (v1.4)</x:t>
        </x:is>
      </x:c>
    </x:row>
    <x:row r="18" ht="18" customHeight="1"/>
    <x:row r="19" ht="1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10" customWidth="1"/>
    <x:col min="3" max="3" width="16" customWidth="1"/>
    <x:col min="4" max="4" width="22" customWidth="1"/>
    <x:col min="5" max="5" width="16" customWidth="1"/>
    <x:col min="6" max="6" width="38" customWidth="1"/>
  </x:cols>
  <x:sheetData>
    <x:row r="1" ht="28" customHeight="1">
      <x:c r="A1" s="1" t="inlineStr">
        <x:is>
          <x:t xml:space="preserve">Zona &amp; Ambang Minimum (Threshold) – dapat kamu ubah</x:t>
        </x:is>
      </x:c>
    </x:row>
    <x:row r="2" ht="18" customHeight="1"/>
    <x:row r="3" ht="18" customHeight="1">
      <x:c r="A3" s="5" t="inlineStr">
        <x:is>
          <x:t xml:space="preserve">Zona</x:t>
        </x:is>
      </x:c>
      <x:c r="B3" s="5" t="inlineStr">
        <x:is>
          <x:t xml:space="preserve">Faktor Penyesuaian Ambang (multiplikasi)</x:t>
        </x:is>
      </x:c>
    </x:row>
    <x:row r="4" ht="18" customHeight="1">
      <x:c r="A4" s="6" t="inlineStr">
        <x:is>
          <x:t xml:space="preserve">Tropis / lembab</x:t>
        </x:is>
      </x:c>
      <x:c r="B4" s="7" t="n">
        <x:v>1</x:v>
      </x:c>
    </x:row>
    <x:row r="5" ht="18" customHeight="1">
      <x:c r="A5" s="6" t="inlineStr">
        <x:is>
          <x:t xml:space="preserve">Dingin</x:t>
        </x:is>
      </x:c>
      <x:c r="B5" s="7" t="n">
        <x:v>1.15</x:v>
      </x:c>
    </x:row>
    <x:row r="6" ht="18" customHeight="1">
      <x:c r="A6" s="6" t="inlineStr">
        <x:is>
          <x:t xml:space="preserve">Kering / minim air</x:t>
        </x:is>
      </x:c>
      <x:c r="B6" s="7" t="n">
        <x:v>1.1</x:v>
      </x:c>
    </x:row>
    <x:row r="7" ht="18" customHeight="1">
      <x:c r="A7" s="6" t="inlineStr">
        <x:is>
          <x:t xml:space="preserve">Kepulauan / terpencil</x:t>
        </x:is>
      </x:c>
      <x:c r="B7" s="7" t="n">
        <x:v>1.05</x:v>
      </x:c>
    </x:row>
    <x:row r="8" ht="18" customHeight="1">
      <x:c r="A8" s="6" t="inlineStr">
        <x:is>
          <x:t xml:space="preserve">Perkotaan padat</x:t>
        </x:is>
      </x:c>
      <x:c r="B8" s="7" t="n">
        <x:v>1</x:v>
      </x:c>
    </x:row>
    <x:row r="9" ht="18" customHeight="1"/>
    <x:row r="10" ht="22" customHeight="1">
      <x:c r="A10" s="2" t="inlineStr">
        <x:is>
          <x:t xml:space="preserve">Baseline Ambang Minimum per Komponen (sebelum penyesuaian zona)</x:t>
        </x:is>
      </x:c>
    </x:row>
    <x:row r="11" ht="18" customHeight="1">
      <x:c r="A11" s="8" t="inlineStr">
        <x:is>
          <x:t xml:space="preserve">Komponen</x:t>
        </x:is>
      </x:c>
      <x:c r="B11" s="8" t="inlineStr">
        <x:is>
          <x:t xml:space="preserve">Bobot</x:t>
        </x:is>
      </x:c>
      <x:c r="C11" s="8" t="inlineStr">
        <x:is>
          <x:t xml:space="preserve">Kebutuhan dasar?</x:t>
        </x:is>
      </x:c>
      <x:c r="D11" s="8" t="inlineStr">
        <x:is>
          <x:t xml:space="preserve">Satuan contoh</x:t>
        </x:is>
      </x:c>
      <x:c r="E11" s="8" t="inlineStr">
        <x:is>
          <x:t xml:space="preserve">Baseline Ambang</x:t>
        </x:is>
      </x:c>
      <x:c r="F11" s="8" t="inlineStr">
        <x:is>
          <x:t xml:space="preserve">Catatan</x:t>
        </x:is>
      </x:c>
    </x:row>
    <x:row r="12" ht="18" customHeight="1">
      <x:c r="A12" s="6" t="inlineStr">
        <x:is>
          <x:t xml:space="preserve">Energi &amp; Emisi</x:t>
        </x:is>
      </x:c>
      <x:c r="B12" s="9" t="n">
        <x:v>0.3</x:v>
      </x:c>
      <x:c r="C12" s="10" t="inlineStr">
        <x:is>
          <x:t xml:space="preserve">Ya</x:t>
        </x:is>
      </x:c>
      <x:c r="D12" s="6" t="inlineStr">
        <x:is>
          <x:t xml:space="preserve">kWh listrik/bln (setara)</x:t>
        </x:is>
      </x:c>
      <x:c r="E12" s="11" t="n">
        <x:v>300</x:v>
      </x:c>
      <x:c r="F12" s="6" t="inlineStr">
        <x:is>
          <x:t xml:space="preserve">Contoh ambang. Silakan sesuaikan.</x:t>
        </x:is>
      </x:c>
    </x:row>
    <x:row r="13" ht="18" customHeight="1">
      <x:c r="A13" s="6" t="inlineStr">
        <x:is>
          <x:t xml:space="preserve">Pangan</x:t>
        </x:is>
      </x:c>
      <x:c r="B13" s="9" t="n">
        <x:v>0.2</x:v>
      </x:c>
      <x:c r="C13" s="10" t="inlineStr">
        <x:is>
          <x:t xml:space="preserve">Ya</x:t>
        </x:is>
      </x:c>
      <x:c r="D13" s="6" t="inlineStr">
        <x:is>
          <x:t xml:space="preserve">porsi protein hewani/minggu</x:t>
        </x:is>
      </x:c>
      <x:c r="E13" s="11" t="n">
        <x:v>4</x:v>
      </x:c>
      <x:c r="F13" s="6" t="inlineStr">
        <x:is>
          <x:t xml:space="preserve">Gunakan proxy sederhana jika data detail sulit.</x:t>
        </x:is>
      </x:c>
    </x:row>
    <x:row r="14" ht="18" customHeight="1">
      <x:c r="A14" s="6" t="inlineStr">
        <x:is>
          <x:t xml:space="preserve">Ruang &amp; Hunian</x:t>
        </x:is>
      </x:c>
      <x:c r="B14" s="9" t="n">
        <x:v>0.15</x:v>
      </x:c>
      <x:c r="C14" s="10" t="inlineStr">
        <x:is>
          <x:t xml:space="preserve">Ya</x:t>
        </x:is>
      </x:c>
      <x:c r="D14" s="6" t="inlineStr">
        <x:is>
          <x:t xml:space="preserve">m²/orang</x:t>
        </x:is>
      </x:c>
      <x:c r="E14" s="11" t="n">
        <x:v>15</x:v>
      </x:c>
      <x:c r="F14" s="6" t="inlineStr">
        <x:is>
          <x:t xml:space="preserve">Ambang minimum ruang fungsional.</x:t>
        </x:is>
      </x:c>
    </x:row>
    <x:row r="15" ht="18" customHeight="1">
      <x:c r="A15" s="6" t="inlineStr">
        <x:is>
          <x:t xml:space="preserve">Mobilitas</x:t>
        </x:is>
      </x:c>
      <x:c r="B15" s="9" t="n">
        <x:v>0.15</x:v>
      </x:c>
      <x:c r="C15" s="10" t="inlineStr">
        <x:is>
          <x:t xml:space="preserve">Ya</x:t>
        </x:is>
      </x:c>
      <x:c r="D15" s="6" t="inlineStr">
        <x:is>
          <x:t xml:space="preserve">km perjalanan/bln</x:t>
        </x:is>
      </x:c>
      <x:c r="E15" s="11" t="n">
        <x:v>300</x:v>
      </x:c>
      <x:c r="F15" s="6" t="inlineStr">
        <x:is>
          <x:t xml:space="preserve">Gabungkan komuter + kebutuhan dasar.</x:t>
        </x:is>
      </x:c>
    </x:row>
    <x:row r="16" ht="18" customHeight="1">
      <x:c r="A16" s="6" t="inlineStr">
        <x:is>
          <x:t xml:space="preserve">Barang &amp; Konsumsi Simbolik</x:t>
        </x:is>
      </x:c>
      <x:c r="B16" s="9" t="n">
        <x:v>0.1</x:v>
      </x:c>
      <x:c r="C16" s="10" t="inlineStr">
        <x:is>
          <x:t xml:space="preserve">Tidak</x:t>
        </x:is>
      </x:c>
      <x:c r="D16" s="6" t="inlineStr">
        <x:is>
          <x:t xml:space="preserve">item besar/tahun (gadget/fashion)</x:t>
        </x:is>
      </x:c>
      <x:c r="E16" s="11" t="n">
        <x:v>2</x:v>
      </x:c>
      <x:c r="F16" s="6" t="inlineStr">
        <x:is>
          <x:t xml:space="preserve">Di sini &lt;1 tidak dianggap masalah.</x:t>
        </x:is>
      </x:c>
    </x:row>
    <x:row r="17" ht="18" customHeight="1">
      <x:c r="A17" s="6" t="inlineStr">
        <x:is>
          <x:t xml:space="preserve">Limbah &amp; Siklus</x:t>
        </x:is>
      </x:c>
      <x:c r="B17" s="9" t="n">
        <x:v>0.05</x:v>
      </x:c>
      <x:c r="C17" s="10" t="inlineStr">
        <x:is>
          <x:t xml:space="preserve">Tidak</x:t>
        </x:is>
      </x:c>
      <x:c r="D17" s="6" t="inlineStr">
        <x:is>
          <x:t xml:space="preserve">kg sampah/bln</x:t>
        </x:is>
      </x:c>
      <x:c r="E17" s="11" t="n">
        <x:v>20</x:v>
      </x:c>
      <x:c r="F17" s="6" t="inlineStr">
        <x:is>
          <x:t xml:space="preserve">Proxy; bisa pakai liter/pekan, dsb.</x:t>
        </x:is>
      </x:c>
    </x:row>
    <x:row r="18" ht="18" customHeight="1">
      <x:c r="A18" s="6" t="inlineStr">
        <x:is>
          <x:t xml:space="preserve">Keamanan Sosial Dasar</x:t>
        </x:is>
      </x:c>
      <x:c r="B18" s="9" t="n">
        <x:v>0.05</x:v>
      </x:c>
      <x:c r="C18" s="10" t="inlineStr">
        <x:is>
          <x:t xml:space="preserve">Ya</x:t>
        </x:is>
      </x:c>
      <x:c r="D18" s="6" t="inlineStr">
        <x:is>
          <x:t xml:space="preserve">indeks (0–1)</x:t>
        </x:is>
      </x:c>
      <x:c r="E18" s="11" t="n">
        <x:v>1</x:v>
      </x:c>
      <x:c r="F18" s="6" t="inlineStr">
        <x:is>
          <x:t xml:space="preserve">1 = ada pengaman dasar; &lt;1 = rapuh.</x:t>
        </x:is>
      </x:c>
    </x:row>
    <x:row r="19" ht="18" customHeight="1"/>
    <x:row r="20" ht="18" customHeight="1"/>
    <x:row r="21" ht="18" customHeight="1"/>
    <x:row r="22" ht="18" customHeight="1"/>
    <x:row r="23" ht="18" customHeight="1"/>
    <x:row r="24" ht="18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12" customWidth="1"/>
    <x:col min="3" max="3" width="18" customWidth="1"/>
    <x:col min="4" max="4" width="22" customWidth="1"/>
    <x:col min="5" max="5" width="14" customWidth="1"/>
    <x:col min="6" max="6" width="16" customWidth="1"/>
    <x:col min="7" max="7" width="20" customWidth="1"/>
    <x:col min="8" max="8" width="16" customWidth="1"/>
    <x:col min="9" max="9" width="42" customWidth="1"/>
  </x:cols>
  <x:sheetData>
    <x:row r="1" ht="28" customHeight="1">
      <x:c r="A1" s="1" t="inlineStr">
        <x:is>
          <x:t xml:space="preserve">The One-Earth Test (v2) – Kalkulator x Bumi</x:t>
        </x:is>
      </x:c>
    </x:row>
    <x:row r="2" ht="18" customHeight="1"/>
    <x:row r="3" ht="20" customHeight="1">
      <x:c r="A3" s="12" t="inlineStr">
        <x:is>
          <x:t xml:space="preserve">Zona (pilih):</x:t>
        </x:is>
      </x:c>
      <x:c r="B3" s="13" t="inlineStr">
        <x:is>
          <x:t xml:space="preserve">Tropis / lembab</x:t>
        </x:is>
      </x:c>
      <x:c r="C3" s="12" t="inlineStr">
        <x:is>
          <x:t xml:space="preserve">Faktor zona:</x:t>
        </x:is>
      </x:c>
      <x:c r="D3" s="14">
        <x:f>VLOOKUP(B3,'ZONE &amp; THRESHOLDS'!$A$4:$B$8,2,FALSE)</x:f>
        <x:v>1</x:v>
      </x:c>
    </x:row>
    <x:row r="4" ht="18" customHeight="1"/>
    <x:row r="5" ht="16" customHeight="1">
      <x:c r="A5" s="4" t="inlineStr">
        <x:is>
          <x:t xml:space="preserve">Isi kolom input (kuning). Kolom lain dihitung otomatis.</x:t>
        </x:is>
      </x:c>
    </x:row>
    <x:row r="6" ht="18" customHeight="1"/>
    <x:row r="7" ht="28" customHeight="1">
      <x:c r="A7" s="8" t="inlineStr">
        <x:is>
          <x:t xml:space="preserve">Komponen</x:t>
        </x:is>
      </x:c>
      <x:c r="B7" s="8" t="inlineStr">
        <x:is>
          <x:t xml:space="preserve">Bobot</x:t>
        </x:is>
      </x:c>
      <x:c r="C7" s="8" t="inlineStr">
        <x:is>
          <x:t xml:space="preserve">Kebutuhan dasar?</x:t>
        </x:is>
      </x:c>
      <x:c r="D7" s="8" t="inlineStr">
        <x:is>
          <x:t xml:space="preserve">Konsumsi aktual (input)</x:t>
        </x:is>
      </x:c>
      <x:c r="E7" s="8" t="inlineStr">
        <x:is>
          <x:t xml:space="preserve">Ambang (zona)</x:t>
        </x:is>
      </x:c>
      <x:c r="F7" s="8" t="inlineStr">
        <x:is>
          <x:t xml:space="preserve">Skor relatif</x:t>
        </x:is>
      </x:c>
      <x:c r="G7" s="8" t="inlineStr">
        <x:is>
          <x:t xml:space="preserve">Kontribusi tertimbang</x:t>
        </x:is>
      </x:c>
      <x:c r="H7" s="8" t="inlineStr">
        <x:is>
          <x:t xml:space="preserve">Layak?</x:t>
        </x:is>
      </x:c>
      <x:c r="I7" s="8" t="inlineStr">
        <x:is>
          <x:t xml:space="preserve">Catatan cepat</x:t>
        </x:is>
      </x:c>
    </x:row>
    <x:row r="8" ht="18" customHeight="1">
      <x:c r="A8" s="6" t="str">
        <x:f>'ZONE &amp; THRESHOLDS'!A12</x:f>
        <x:v>Energi &amp; Emisi</x:v>
      </x:c>
      <x:c r="B8" s="7">
        <x:f>'ZONE &amp; THRESHOLDS'!B12</x:f>
        <x:v>0.3</x:v>
      </x:c>
      <x:c r="C8" s="10" t="str">
        <x:f>'ZONE &amp; THRESHOLDS'!C12</x:f>
        <x:v>Ya</x:v>
      </x:c>
      <x:c r="D8" s="11" t="n">
        <x:v>0</x:v>
      </x:c>
      <x:c r="E8" s="15">
        <x:f>'ZONE &amp; THRESHOLDS'!E12*$D$3</x:f>
        <x:v>300</x:v>
      </x:c>
      <x:c r="F8" s="7">
        <x:f>IF(E8&gt;0,D8/E8,"")</x:f>
        <x:v>0</x:v>
      </x:c>
      <x:c r="G8" s="7">
        <x:f>F8*B8</x:f>
        <x:v>0</x:v>
      </x:c>
      <x:c r="H8" s="10" t="str">
        <x:f>IF(C8="Ya",IF(F8&gt;=1,"Layak","Di bawah layak"),"-")</x:f>
        <x:v>Di bawah layak</x:v>
      </x:c>
      <x:c r="I8" s="6" t="str">
        <x:f>'ZONE &amp; THRESHOLDS'!F12</x:f>
        <x:v>Contoh ambang. Silakan sesuaikan.</x:v>
      </x:c>
    </x:row>
    <x:row r="9" ht="18" customHeight="1">
      <x:c r="A9" s="6" t="str">
        <x:f>'ZONE &amp; THRESHOLDS'!A13</x:f>
        <x:v>Pangan</x:v>
      </x:c>
      <x:c r="B9" s="7">
        <x:f>'ZONE &amp; THRESHOLDS'!B13</x:f>
        <x:v>0.2</x:v>
      </x:c>
      <x:c r="C9" s="10" t="str">
        <x:f>'ZONE &amp; THRESHOLDS'!C13</x:f>
        <x:v>Ya</x:v>
      </x:c>
      <x:c r="D9" s="11" t="n">
        <x:v>0</x:v>
      </x:c>
      <x:c r="E9" s="15">
        <x:f>'ZONE &amp; THRESHOLDS'!E13*$D$3</x:f>
        <x:v>4</x:v>
      </x:c>
      <x:c r="F9" s="7">
        <x:f>IF(E9&gt;0,D9/E9,"")</x:f>
        <x:v>0</x:v>
      </x:c>
      <x:c r="G9" s="7">
        <x:f>F9*B9</x:f>
        <x:v>0</x:v>
      </x:c>
      <x:c r="H9" s="10" t="str">
        <x:f>IF(C9="Ya",IF(F9&gt;=1,"Layak","Di bawah layak"),"-")</x:f>
        <x:v>Di bawah layak</x:v>
      </x:c>
      <x:c r="I9" s="6" t="str">
        <x:f>'ZONE &amp; THRESHOLDS'!F13</x:f>
        <x:v>Gunakan proxy sederhana jika data detail sulit.</x:v>
      </x:c>
    </x:row>
    <x:row r="10" ht="18" customHeight="1">
      <x:c r="A10" s="6" t="str">
        <x:f>'ZONE &amp; THRESHOLDS'!A14</x:f>
        <x:v>Ruang &amp; Hunian</x:v>
      </x:c>
      <x:c r="B10" s="7">
        <x:f>'ZONE &amp; THRESHOLDS'!B14</x:f>
        <x:v>0.15</x:v>
      </x:c>
      <x:c r="C10" s="10" t="str">
        <x:f>'ZONE &amp; THRESHOLDS'!C14</x:f>
        <x:v>Ya</x:v>
      </x:c>
      <x:c r="D10" s="11" t="n">
        <x:v>0</x:v>
      </x:c>
      <x:c r="E10" s="15">
        <x:f>'ZONE &amp; THRESHOLDS'!E14*$D$3</x:f>
        <x:v>15</x:v>
      </x:c>
      <x:c r="F10" s="7">
        <x:f>IF(E10&gt;0,D10/E10,"")</x:f>
        <x:v>0</x:v>
      </x:c>
      <x:c r="G10" s="7">
        <x:f>F10*B10</x:f>
        <x:v>0</x:v>
      </x:c>
      <x:c r="H10" s="10" t="str">
        <x:f>IF(C10="Ya",IF(F10&gt;=1,"Layak","Di bawah layak"),"-")</x:f>
        <x:v>Di bawah layak</x:v>
      </x:c>
      <x:c r="I10" s="6" t="str">
        <x:f>'ZONE &amp; THRESHOLDS'!F14</x:f>
        <x:v>Ambang minimum ruang fungsional.</x:v>
      </x:c>
    </x:row>
    <x:row r="11" ht="18" customHeight="1">
      <x:c r="A11" s="6" t="str">
        <x:f>'ZONE &amp; THRESHOLDS'!A15</x:f>
        <x:v>Mobilitas</x:v>
      </x:c>
      <x:c r="B11" s="7">
        <x:f>'ZONE &amp; THRESHOLDS'!B15</x:f>
        <x:v>0.15</x:v>
      </x:c>
      <x:c r="C11" s="10" t="str">
        <x:f>'ZONE &amp; THRESHOLDS'!C15</x:f>
        <x:v>Ya</x:v>
      </x:c>
      <x:c r="D11" s="11" t="n">
        <x:v>0</x:v>
      </x:c>
      <x:c r="E11" s="15">
        <x:f>'ZONE &amp; THRESHOLDS'!E15*$D$3</x:f>
        <x:v>300</x:v>
      </x:c>
      <x:c r="F11" s="7">
        <x:f>IF(E11&gt;0,D11/E11,"")</x:f>
        <x:v>0</x:v>
      </x:c>
      <x:c r="G11" s="7">
        <x:f>F11*B11</x:f>
        <x:v>0</x:v>
      </x:c>
      <x:c r="H11" s="10" t="str">
        <x:f>IF(C11="Ya",IF(F11&gt;=1,"Layak","Di bawah layak"),"-")</x:f>
        <x:v>Di bawah layak</x:v>
      </x:c>
      <x:c r="I11" s="6" t="str">
        <x:f>'ZONE &amp; THRESHOLDS'!F15</x:f>
        <x:v>Gabungkan komuter + kebutuhan dasar.</x:v>
      </x:c>
    </x:row>
    <x:row r="12" ht="18" customHeight="1">
      <x:c r="A12" s="6" t="str">
        <x:f>'ZONE &amp; THRESHOLDS'!A16</x:f>
        <x:v>Barang &amp; Konsumsi Simbolik</x:v>
      </x:c>
      <x:c r="B12" s="7">
        <x:f>'ZONE &amp; THRESHOLDS'!B16</x:f>
        <x:v>0.1</x:v>
      </x:c>
      <x:c r="C12" s="10" t="str">
        <x:f>'ZONE &amp; THRESHOLDS'!C16</x:f>
        <x:v>Tidak</x:v>
      </x:c>
      <x:c r="D12" s="11" t="n">
        <x:v>0</x:v>
      </x:c>
      <x:c r="E12" s="15">
        <x:f>'ZONE &amp; THRESHOLDS'!E16*$D$3</x:f>
        <x:v>2</x:v>
      </x:c>
      <x:c r="F12" s="7">
        <x:f>IF(E12&gt;0,D12/E12,"")</x:f>
        <x:v>0</x:v>
      </x:c>
      <x:c r="G12" s="7">
        <x:f>F12*B12</x:f>
        <x:v>0</x:v>
      </x:c>
      <x:c r="H12" s="10" t="str">
        <x:f>IF(C12="Ya",IF(F12&gt;=1,"Layak","Di bawah layak"),"-")</x:f>
        <x:v>-</x:v>
      </x:c>
      <x:c r="I12" s="6" t="str">
        <x:f>'ZONE &amp; THRESHOLDS'!F16</x:f>
        <x:v>Di sini &lt;1 tidak dianggap masalah.</x:v>
      </x:c>
    </x:row>
    <x:row r="13" ht="18" customHeight="1">
      <x:c r="A13" s="6" t="str">
        <x:f>'ZONE &amp; THRESHOLDS'!A17</x:f>
        <x:v>Limbah &amp; Siklus</x:v>
      </x:c>
      <x:c r="B13" s="7">
        <x:f>'ZONE &amp; THRESHOLDS'!B17</x:f>
        <x:v>0.05</x:v>
      </x:c>
      <x:c r="C13" s="10" t="str">
        <x:f>'ZONE &amp; THRESHOLDS'!C17</x:f>
        <x:v>Tidak</x:v>
      </x:c>
      <x:c r="D13" s="11" t="n">
        <x:v>0</x:v>
      </x:c>
      <x:c r="E13" s="15">
        <x:f>'ZONE &amp; THRESHOLDS'!E17*$D$3</x:f>
        <x:v>20</x:v>
      </x:c>
      <x:c r="F13" s="7">
        <x:f>IF(E13&gt;0,D13/E13,"")</x:f>
        <x:v>0</x:v>
      </x:c>
      <x:c r="G13" s="7">
        <x:f>F13*B13</x:f>
        <x:v>0</x:v>
      </x:c>
      <x:c r="H13" s="10" t="str">
        <x:f>IF(C13="Ya",IF(F13&gt;=1,"Layak","Di bawah layak"),"-")</x:f>
        <x:v>-</x:v>
      </x:c>
      <x:c r="I13" s="6" t="str">
        <x:f>'ZONE &amp; THRESHOLDS'!F17</x:f>
        <x:v>Proxy; bisa pakai liter/pekan, dsb.</x:v>
      </x:c>
    </x:row>
    <x:row r="14" ht="18" customHeight="1">
      <x:c r="A14" s="6" t="str">
        <x:f>'ZONE &amp; THRESHOLDS'!A18</x:f>
        <x:v>Keamanan Sosial Dasar</x:v>
      </x:c>
      <x:c r="B14" s="7">
        <x:f>'ZONE &amp; THRESHOLDS'!B18</x:f>
        <x:v>0.05</x:v>
      </x:c>
      <x:c r="C14" s="10" t="str">
        <x:f>'ZONE &amp; THRESHOLDS'!C18</x:f>
        <x:v>Ya</x:v>
      </x:c>
      <x:c r="D14" s="11" t="n">
        <x:v>0</x:v>
      </x:c>
      <x:c r="E14" s="15">
        <x:f>'ZONE &amp; THRESHOLDS'!E18*$D$3</x:f>
        <x:v>1</x:v>
      </x:c>
      <x:c r="F14" s="7">
        <x:f>IF(E14&gt;0,D14/E14,"")</x:f>
        <x:v>0</x:v>
      </x:c>
      <x:c r="G14" s="7">
        <x:f>F14*B14</x:f>
        <x:v>0</x:v>
      </x:c>
      <x:c r="H14" s="10" t="str">
        <x:f>IF(C14="Ya",IF(F14&gt;=1,"Layak","Di bawah layak"),"-")</x:f>
        <x:v>Di bawah layak</x:v>
      </x:c>
      <x:c r="I14" s="6" t="str">
        <x:f>'ZONE &amp; THRESHOLDS'!F18</x:f>
        <x:v>1 = ada pengaman dasar; &lt;1 = rapuh.</x:v>
      </x:c>
    </x:row>
    <x:row r="15" ht="18" customHeight="1"/>
    <x:row r="16" ht="18" customHeight="1">
      <x:c r="F16" s="16" t="inlineStr">
        <x:is>
          <x:t xml:space="preserve">x Bumi (Total)</x:t>
        </x:is>
      </x:c>
      <x:c r="G16" s="17">
        <x:f>SUM(G8:G14)</x:f>
        <x:v>0</x:v>
      </x:c>
    </x:row>
    <x:row r="17" ht="18" customHeight="1"/>
    <x:row r="18" ht="18" customHeight="1">
      <x:c r="F18" s="16" t="inlineStr">
        <x:is>
          <x:t xml:space="preserve">Interpretasi</x:t>
        </x:is>
      </x:c>
      <x:c r="G18" s="6" t="str">
        <x:f>IF(G16&lt;0.85,"Underconsumption (&lt;layak)",IF(G16&lt;=1.10,"Dalam batas 1 Bumi",IF(G16&lt;=1.35,"Overshoot moderat","Overshoot tinggi")))</x:f>
        <x:v>Underconsumption (&lt;layak)</x:v>
      </x:c>
    </x:row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</x:sheetData>
  <x:pageMargins left="0.7" right="0.7" top="0.75" bottom="0.75" header="0.3" footer="0.3"/>
  <x:drawing xmlns:r="http://schemas.openxmlformats.org/officeDocument/2006/relationships" r:id="R97b9b8e8e52f4e6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8" customWidth="1"/>
    <x:col min="3" max="3" width="58" customWidth="1"/>
    <x:col min="4" max="4" width="12" customWidth="1"/>
  </x:cols>
  <x:sheetData>
    <x:row r="1" ht="28" customHeight="1">
      <x:c r="A1" s="1" t="inlineStr">
        <x:is>
          <x:t xml:space="preserve">The One-Earth Test (v1) – Quick Survey 15 Pertanyaan (opsional)</x:t>
        </x:is>
      </x:c>
    </x:row>
    <x:row r="2" ht="18" customHeight="1"/>
    <x:row r="3" ht="18" customHeight="1">
      <x:c r="A3" s="4" t="inlineStr">
        <x:is>
          <x:t xml:space="preserve">Isi skor 1–4 (1=Ringan ... 4=Ekstrem). Hasilnya estimasi x Bumi berbasis 5 faktor.</x:t>
        </x:is>
      </x:c>
    </x:row>
    <x:row r="4" ht="18" customHeight="1"/>
    <x:row r="5" ht="18" customHeight="1">
      <x:c r="A5" s="8" t="inlineStr">
        <x:is>
          <x:t xml:space="preserve">Faktor</x:t>
        </x:is>
      </x:c>
      <x:c r="B5" s="8" t="inlineStr">
        <x:is>
          <x:t xml:space="preserve">Bobot</x:t>
        </x:is>
      </x:c>
      <x:c r="C5" s="8" t="inlineStr">
        <x:is>
          <x:t xml:space="preserve">Pertanyaan</x:t>
        </x:is>
      </x:c>
      <x:c r="D5" s="8" t="inlineStr">
        <x:is>
          <x:t xml:space="preserve">Skor (1–4)</x:t>
        </x:is>
      </x:c>
    </x:row>
    <x:row r="6" ht="18" customHeight="1">
      <x:c r="A6" s="18" t="inlineStr">
        <x:is>
          <x:t xml:space="preserve">Hunian &amp; Energi</x:t>
        </x:is>
      </x:c>
      <x:c r="B6" s="19" t="n">
        <x:v>0.3</x:v>
      </x:c>
      <x:c r="C6" s="6" t="inlineStr">
        <x:is>
          <x:t xml:space="preserve">Q1: Luas hunian per orang</x:t>
        </x:is>
      </x:c>
      <x:c r="D6" s="20" t="n">
        <x:v>2</x:v>
      </x:c>
    </x:row>
    <x:row r="7" ht="18" customHeight="1">
      <x:c r="A7" s="21" t="n"/>
      <x:c r="B7" s="21" t="n"/>
      <x:c r="C7" s="6" t="inlineStr">
        <x:is>
          <x:t xml:space="preserve">Q2: Konsumsi listrik/energi</x:t>
        </x:is>
      </x:c>
      <x:c r="D7" s="20" t="n">
        <x:v>2</x:v>
      </x:c>
    </x:row>
    <x:row r="8" ht="18" customHeight="1">
      <x:c r="A8" s="22" t="n"/>
      <x:c r="B8" s="22" t="n"/>
      <x:c r="C8" s="6" t="inlineStr">
        <x:is>
          <x:t xml:space="preserve">Q3: Pendingin/pemanas &amp; efisiensi</x:t>
        </x:is>
      </x:c>
      <x:c r="D8" s="20" t="n">
        <x:v>2</x:v>
      </x:c>
    </x:row>
    <x:row r="9" ht="18" customHeight="1">
      <x:c r="A9" s="18" t="inlineStr">
        <x:is>
          <x:t xml:space="preserve">Transportasi</x:t>
        </x:is>
      </x:c>
      <x:c r="B9" s="19" t="n">
        <x:v>0.25</x:v>
      </x:c>
      <x:c r="C9" s="6" t="inlineStr">
        <x:is>
          <x:t xml:space="preserve">Q4: Moda harian</x:t>
        </x:is>
      </x:c>
      <x:c r="D9" s="20" t="n">
        <x:v>2</x:v>
      </x:c>
    </x:row>
    <x:row r="10" ht="18" customHeight="1">
      <x:c r="A10" s="21" t="n"/>
      <x:c r="B10" s="21" t="n"/>
      <x:c r="C10" s="6" t="inlineStr">
        <x:is>
          <x:t xml:space="preserve">Q5: Jarak/frekuensi komuter</x:t>
        </x:is>
      </x:c>
      <x:c r="D10" s="20" t="n">
        <x:v>2</x:v>
      </x:c>
    </x:row>
    <x:row r="11" ht="18" customHeight="1">
      <x:c r="A11" s="22" t="n"/>
      <x:c r="B11" s="22" t="n"/>
      <x:c r="C11" s="6" t="inlineStr">
        <x:is>
          <x:t xml:space="preserve">Q6: Penerbangan/perjalanan jauh</x:t>
        </x:is>
      </x:c>
      <x:c r="D11" s="20" t="n">
        <x:v>2</x:v>
      </x:c>
    </x:row>
    <x:row r="12" ht="18" customHeight="1">
      <x:c r="A12" s="18" t="inlineStr">
        <x:is>
          <x:t xml:space="preserve">Pangan</x:t>
        </x:is>
      </x:c>
      <x:c r="B12" s="19" t="n">
        <x:v>0.2</x:v>
      </x:c>
      <x:c r="C12" s="6" t="inlineStr">
        <x:is>
          <x:t xml:space="preserve">Q7: Dominasi protein hewani</x:t>
        </x:is>
      </x:c>
      <x:c r="D12" s="20" t="n">
        <x:v>2</x:v>
      </x:c>
    </x:row>
    <x:row r="13" ht="18" customHeight="1">
      <x:c r="A13" s="21" t="n"/>
      <x:c r="B13" s="21" t="n"/>
      <x:c r="C13" s="6" t="inlineStr">
        <x:is>
          <x:t xml:space="preserve">Q8: Makanan ultra-proses</x:t>
        </x:is>
      </x:c>
      <x:c r="D13" s="20" t="n">
        <x:v>2</x:v>
      </x:c>
    </x:row>
    <x:row r="14" ht="18" customHeight="1">
      <x:c r="A14" s="22" t="n"/>
      <x:c r="B14" s="22" t="n"/>
      <x:c r="C14" s="6" t="inlineStr">
        <x:is>
          <x:t xml:space="preserve">Q9: Food waste</x:t>
        </x:is>
      </x:c>
      <x:c r="D14" s="20" t="n">
        <x:v>2</x:v>
      </x:c>
    </x:row>
    <x:row r="15" ht="18" customHeight="1">
      <x:c r="A15" s="18" t="inlineStr">
        <x:is>
          <x:t xml:space="preserve">Konsumsi Barang</x:t>
        </x:is>
      </x:c>
      <x:c r="B15" s="19" t="n">
        <x:v>0.15</x:v>
      </x:c>
      <x:c r="C15" s="6" t="inlineStr">
        <x:is>
          <x:t xml:space="preserve">Q10: Fast fashion</x:t>
        </x:is>
      </x:c>
      <x:c r="D15" s="20" t="n">
        <x:v>2</x:v>
      </x:c>
    </x:row>
    <x:row r="16" ht="18" customHeight="1">
      <x:c r="A16" s="21" t="n"/>
      <x:c r="B16" s="21" t="n"/>
      <x:c r="C16" s="6" t="inlineStr">
        <x:is>
          <x:t xml:space="preserve">Q11: Gonta-ganti gadget</x:t>
        </x:is>
      </x:c>
      <x:c r="D16" s="20" t="n">
        <x:v>2</x:v>
      </x:c>
    </x:row>
    <x:row r="17" ht="18" customHeight="1">
      <x:c r="A17" s="22" t="n"/>
      <x:c r="B17" s="22" t="n"/>
      <x:c r="C17" s="6" t="inlineStr">
        <x:is>
          <x:t xml:space="preserve">Q12: Barang status/impulsif</x:t>
        </x:is>
      </x:c>
      <x:c r="D17" s="20" t="n">
        <x:v>2</x:v>
      </x:c>
    </x:row>
    <x:row r="18" ht="18" customHeight="1">
      <x:c r="A18" s="18" t="inlineStr">
        <x:is>
          <x:t xml:space="preserve">Air &amp; Limbah</x:t>
        </x:is>
      </x:c>
      <x:c r="B18" s="19" t="n">
        <x:v>0.1</x:v>
      </x:c>
      <x:c r="C18" s="6" t="inlineStr">
        <x:is>
          <x:t xml:space="preserve">Q13: Pemakaian air</x:t>
        </x:is>
      </x:c>
      <x:c r="D18" s="20" t="n">
        <x:v>2</x:v>
      </x:c>
    </x:row>
    <x:row r="19" ht="18" customHeight="1">
      <x:c r="A19" s="21" t="n"/>
      <x:c r="B19" s="21" t="n"/>
      <x:c r="C19" s="6" t="inlineStr">
        <x:is>
          <x:t xml:space="preserve">Q14: Sampah sekali pakai</x:t>
        </x:is>
      </x:c>
      <x:c r="D19" s="20" t="n">
        <x:v>2</x:v>
      </x:c>
    </x:row>
    <x:row r="20" ht="18" customHeight="1">
      <x:c r="A20" s="22" t="n"/>
      <x:c r="B20" s="22" t="n"/>
      <x:c r="C20" s="6" t="inlineStr">
        <x:is>
          <x:t xml:space="preserve">Q15: Daur ulang/perbaikan</x:t>
        </x:is>
      </x:c>
      <x:c r="D20" s="20" t="n">
        <x:v>2</x:v>
      </x:c>
    </x:row>
    <x:row r="21" ht="18" customHeight="1"/>
    <x:row r="22" ht="18" customHeight="1"/>
    <x:row r="23" ht="18" customHeight="1">
      <x:c r="A23" s="2" t="inlineStr">
        <x:is>
          <x:t xml:space="preserve">Ringkasan Faktor</x:t>
        </x:is>
      </x:c>
    </x:row>
    <x:row r="24" ht="18" customHeight="1">
      <x:c r="A24" s="5" t="inlineStr">
        <x:is>
          <x:t xml:space="preserve">Faktor</x:t>
        </x:is>
      </x:c>
      <x:c r="B24" s="5" t="inlineStr">
        <x:is>
          <x:t xml:space="preserve">Skor rata-rata</x:t>
        </x:is>
      </x:c>
      <x:c r="C24" s="5" t="inlineStr">
        <x:is>
          <x:t xml:space="preserve">Multiplier (X_f)</x:t>
        </x:is>
      </x:c>
      <x:c r="D24" s="5" t="inlineStr">
        <x:is>
          <x:t xml:space="preserve">Bobot</x:t>
        </x:is>
      </x:c>
      <x:c r="E24" s="5" t="inlineStr">
        <x:is>
          <x:t xml:space="preserve">Kontribusi</x:t>
        </x:is>
      </x:c>
    </x:row>
    <x:row r="25" ht="18" customHeight="1">
      <x:c r="A25" s="6" t="inlineStr">
        <x:is>
          <x:t xml:space="preserve">Hunian &amp; Energi</x:t>
        </x:is>
      </x:c>
      <x:c r="B25" s="7">
        <x:f>AVERAGE(D6:D8)</x:f>
        <x:v>2</x:v>
      </x:c>
      <x:c r="C25" s="23">
        <x:f>0.4+(B25*0.325)</x:f>
        <x:v>1.05</x:v>
      </x:c>
      <x:c r="D25" s="7" t="n">
        <x:v>0.3</x:v>
      </x:c>
      <x:c r="E25" s="23">
        <x:f>C25*D25</x:f>
        <x:v>0.315</x:v>
      </x:c>
    </x:row>
    <x:row r="26" ht="18" customHeight="1">
      <x:c r="A26" s="6" t="inlineStr">
        <x:is>
          <x:t xml:space="preserve">Transportasi</x:t>
        </x:is>
      </x:c>
      <x:c r="B26" s="7">
        <x:f>AVERAGE(D9:D11)</x:f>
        <x:v>2</x:v>
      </x:c>
      <x:c r="C26" s="23">
        <x:f>0.4+(B26*0.325)</x:f>
        <x:v>1.05</x:v>
      </x:c>
      <x:c r="D26" s="7" t="n">
        <x:v>0.25</x:v>
      </x:c>
      <x:c r="E26" s="23">
        <x:f>C26*D26</x:f>
        <x:v>0.2625</x:v>
      </x:c>
    </x:row>
    <x:row r="27" ht="18" customHeight="1">
      <x:c r="A27" s="6" t="inlineStr">
        <x:is>
          <x:t xml:space="preserve">Pangan</x:t>
        </x:is>
      </x:c>
      <x:c r="B27" s="7">
        <x:f>AVERAGE(D12:D14)</x:f>
        <x:v>2</x:v>
      </x:c>
      <x:c r="C27" s="23">
        <x:f>0.4+(B27*0.325)</x:f>
        <x:v>1.05</x:v>
      </x:c>
      <x:c r="D27" s="7" t="n">
        <x:v>0.2</x:v>
      </x:c>
      <x:c r="E27" s="23">
        <x:f>C27*D27</x:f>
        <x:v>0.21000000000000002</x:v>
      </x:c>
    </x:row>
    <x:row r="28" ht="18" customHeight="1">
      <x:c r="A28" s="6" t="inlineStr">
        <x:is>
          <x:t xml:space="preserve">Konsumsi Barang</x:t>
        </x:is>
      </x:c>
      <x:c r="B28" s="7">
        <x:f>AVERAGE(D15:D17)</x:f>
        <x:v>2</x:v>
      </x:c>
      <x:c r="C28" s="23">
        <x:f>0.4+(B28*0.325)</x:f>
        <x:v>1.05</x:v>
      </x:c>
      <x:c r="D28" s="7" t="n">
        <x:v>0.15</x:v>
      </x:c>
      <x:c r="E28" s="23">
        <x:f>C28*D28</x:f>
        <x:v>0.1575</x:v>
      </x:c>
    </x:row>
    <x:row r="29" ht="18" customHeight="1">
      <x:c r="A29" s="6" t="inlineStr">
        <x:is>
          <x:t xml:space="preserve">Air &amp; Limbah</x:t>
        </x:is>
      </x:c>
      <x:c r="B29" s="7">
        <x:f>AVERAGE(D18:D20)</x:f>
        <x:v>2</x:v>
      </x:c>
      <x:c r="C29" s="23">
        <x:f>0.4+(B29*0.325)</x:f>
        <x:v>1.05</x:v>
      </x:c>
      <x:c r="D29" s="7" t="n">
        <x:v>0.1</x:v>
      </x:c>
      <x:c r="E29" s="23">
        <x:f>C29*D29</x:f>
        <x:v>0.10500000000000001</x:v>
      </x:c>
    </x:row>
    <x:row r="30" ht="18" customHeight="1"/>
    <x:row r="31" ht="18" customHeight="1">
      <x:c r="D31" s="16" t="inlineStr">
        <x:is>
          <x:t xml:space="preserve">x Bumi (v1)</x:t>
        </x:is>
      </x:c>
      <x:c r="E31" s="17">
        <x:f>SUM(E25:E29)</x:f>
        <x:v>1.05</x:v>
      </x:c>
    </x:row>
    <x:row r="32" ht="18" customHeight="1"/>
    <x:row r="33" ht="18" customHeight="1">
      <x:c r="D33" s="16" t="inlineStr">
        <x:is>
          <x:t xml:space="preserve">Interpretasi</x:t>
        </x:is>
      </x:c>
      <x:c r="E33" s="6" t="str">
        <x:f>IF(E31&lt;0.85,"Underconsumption",IF(E31&lt;=1.10,"Dalam batas 1 Bumi",IF(E31&lt;=1.35,"Overshoot moderat","Overshoot tinggi")))</x:f>
        <x:v>Dalam batas 1 Bumi</x:v>
      </x:c>
    </x:row>
    <x:row r="34" ht="18" customHeight="1"/>
    <x:row r="35" ht="18" customHeight="1"/>
    <x:row r="36" ht="18" customHeight="1">
      <x:c r="A36" s="2" t="inlineStr">
        <x:is>
          <x:t xml:space="preserve">Catatan:</x:t>
        </x:is>
      </x:c>
    </x:row>
    <x:row r="37" ht="18" customHeight="1">
      <x:c r="A37" s="24" t="inlineStr">
        <x:is>
          <x:t xml:space="preserve">Metoda v1 memakai fungsi linear: X_f = 0.4 + (SkorRata2 × 0.325), lalu dibobotkan per faktor. Ini estimasi reflektif, bukan klaim presisi ilmiah.</x:t>
        </x:is>
      </x:c>
    </x:row>
    <x:row r="38" ht="18" customHeight="1"/>
    <x:row r="39" ht="18" customHeight="1"/>
    <x:row r="40" ht="18" customHeight="1"/>
  </x:sheetData>
  <x:mergeCells>
    <x:mergeCell ref="B18:B20"/>
    <x:mergeCell ref="A12:A14"/>
    <x:mergeCell ref="A37:E38"/>
    <x:mergeCell ref="B12:B14"/>
    <x:mergeCell ref="A9:A11"/>
    <x:mergeCell ref="A15:A17"/>
    <x:mergeCell ref="B9:B11"/>
    <x:mergeCell ref="B15:B17"/>
    <x:mergeCell ref="A18:A20"/>
    <x:mergeCell ref="A6:A8"/>
    <x:mergeCell ref="B6:B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60" customWidth="1"/>
    <x:col min="3" max="3" width="2" customWidth="1"/>
    <x:col min="4" max="4" width="2" customWidth="1"/>
  </x:cols>
  <x:sheetData>
    <x:row r="1" ht="28" customHeight="1">
      <x:c r="A1" s="1" t="inlineStr">
        <x:is>
          <x:t xml:space="preserve">Dashboard – Hasil Utama</x:t>
        </x:is>
      </x:c>
    </x:row>
    <x:row r="2" ht="18" customHeight="1"/>
    <x:row r="3" ht="18" customHeight="1">
      <x:c r="A3" s="2" t="inlineStr">
        <x:is>
          <x:t xml:space="preserve">Hasil v2 (7 komponen)</x:t>
        </x:is>
      </x:c>
    </x:row>
    <x:row r="4" ht="18" customHeight="1">
      <x:c r="A4" s="25" t="inlineStr">
        <x:is>
          <x:t xml:space="preserve">x Bumi</x:t>
        </x:is>
      </x:c>
      <x:c r="B4" s="26">
        <x:f>'ONE-EARTH v2'!G16</x:f>
        <x:v>0</x:v>
      </x:c>
    </x:row>
    <x:row r="5" ht="18" customHeight="1">
      <x:c r="A5" s="25" t="inlineStr">
        <x:is>
          <x:t xml:space="preserve">Interpretasi</x:t>
        </x:is>
      </x:c>
      <x:c r="B5" s="3" t="str">
        <x:f>'ONE-EARTH v2'!G18</x:f>
        <x:v>Underconsumption (&lt;layak)</x:v>
      </x:c>
    </x:row>
    <x:row r="6" ht="18" customHeight="1">
      <x:c r="A6" s="25" t="inlineStr">
        <x:is>
          <x:t xml:space="preserve">Zona</x:t>
        </x:is>
      </x:c>
      <x:c r="B6" s="3" t="str">
        <x:f>'ONE-EARTH v2'!B3</x:f>
        <x:v>Tropis / lembab</x:v>
      </x:c>
    </x:row>
    <x:row r="7" ht="18" customHeight="1">
      <x:c r="A7" s="25" t="inlineStr">
        <x:is>
          <x:t xml:space="preserve">Faktor zona</x:t>
        </x:is>
      </x:c>
      <x:c r="B7" s="26">
        <x:f>'ONE-EARTH v2'!D3</x:f>
        <x:v>1</x:v>
      </x:c>
    </x:row>
    <x:row r="8" ht="18" customHeight="1"/>
    <x:row r="9" ht="18" customHeight="1">
      <x:c r="A9" s="2" t="inlineStr">
        <x:is>
          <x:t xml:space="preserve">Hasil v1 (5 faktor, opsional)</x:t>
        </x:is>
      </x:c>
    </x:row>
    <x:row r="10" ht="18" customHeight="1">
      <x:c r="A10" s="12" t="inlineStr">
        <x:is>
          <x:t xml:space="preserve">x Bumi (v1)</x:t>
        </x:is>
      </x:c>
      <x:c r="B10" s="27">
        <x:f>'v1 Quick Survey'!E31</x:f>
        <x:v>1.05</x:v>
      </x:c>
    </x:row>
    <x:row r="11" ht="18" customHeight="1">
      <x:c r="A11" s="12" t="inlineStr">
        <x:is>
          <x:t xml:space="preserve">Interpretasi</x:t>
        </x:is>
      </x:c>
      <x:c r="B11" t="str">
        <x:f>'v1 Quick Survey'!E33</x:f>
        <x:v>Dalam batas 1 Bumi</x:v>
      </x:c>
    </x:row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</x:sheetData>
  <x:pageMargins left="0.7" right="0.7" top="0.75" bottom="0.75" header="0.3" footer="0.3"/>
  <x:drawing xmlns:r="http://schemas.openxmlformats.org/officeDocument/2006/relationships" r:id="R9224b6bb4a524935"/>
</x:worksheet>
</file>